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954CF092-5B94-46E2-A392-96A18D2CE9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imulador" sheetId="2" r:id="rId1"/>
    <sheet name="Lista de Apoio" sheetId="1" r:id="rId2"/>
  </sheets>
  <definedNames>
    <definedName name="Aporte">Simulador!$D$13:$D$13</definedName>
    <definedName name="Patrimonio">Simulador!$D$16:$D$16</definedName>
    <definedName name="Qtd_Anos">Simulador!$D$14:$D$14</definedName>
    <definedName name="Redimento_Carteira">Simulador!$D$9:$D$9</definedName>
    <definedName name="Salario">Simulador!$D$8:$D$8</definedName>
    <definedName name="Sugest_Investimento">Simulador!$D$10:$D$10</definedName>
    <definedName name="Taxa">Simulador!$D$15:$D$15</definedName>
    <definedName name="Taxa_Mensal">Simulador!$D$15:$D$15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20" i="1"/>
  <c r="B19" i="1"/>
  <c r="B18" i="1"/>
  <c r="B17" i="1"/>
  <c r="B16" i="1"/>
  <c r="B15" i="1"/>
  <c r="B14" i="1"/>
  <c r="B13" i="1"/>
  <c r="B12" i="1"/>
  <c r="B11" i="1"/>
  <c r="B10" i="1"/>
  <c r="B9" i="1"/>
  <c r="B5" i="1"/>
  <c r="B6" i="1"/>
  <c r="B7" i="1"/>
  <c r="B8" i="1"/>
  <c r="D28" i="2" a="1"/>
  <c r="D28" i="2"/>
  <c r="C22" i="2" a="1"/>
  <c r="C22" i="2"/>
  <c r="C23" i="2" a="1"/>
  <c r="C23" i="2"/>
  <c r="C24" i="2" a="1"/>
  <c r="C24" i="2"/>
  <c r="C25" i="2" a="1"/>
  <c r="C25" i="2"/>
  <c r="C21" i="2" a="1"/>
  <c r="C21" i="2"/>
  <c r="D10" i="2" a="1"/>
  <c r="D10" i="2"/>
  <c r="D16" i="2" a="1"/>
  <c r="D16" i="2"/>
  <c r="D17" i="2" s="1" a="1"/>
  <c r="D17" i="2" s="1"/>
  <c r="D22" i="2" a="1"/>
  <c r="D22" i="2"/>
  <c r="D23" i="2" a="1"/>
  <c r="D23" i="2"/>
  <c r="D24" i="2" a="1"/>
  <c r="D24" i="2"/>
  <c r="D25" i="2" a="1"/>
  <c r="D25" i="2"/>
  <c r="D21" i="2" a="1"/>
  <c r="D21" i="2"/>
  <c r="C32" i="2" l="1"/>
  <c r="C33" i="2"/>
  <c r="C34" i="2"/>
  <c r="C35" i="2"/>
  <c r="C36" i="2"/>
  <c r="C31" i="2"/>
  <c r="D32" i="2"/>
  <c r="D33" i="2"/>
  <c r="D34" i="2"/>
  <c r="D35" i="2"/>
  <c r="D36" i="2"/>
  <c r="D31" i="2"/>
  <c r="D3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<sst xmlns="http://schemas.openxmlformats.org/spreadsheetml/2006/main" count="70" uniqueCount="35">
  <si>
    <t>Configurações</t>
  </si>
  <si>
    <t>Sálario</t>
  </si>
  <si>
    <t>Rendimento Carteira</t>
  </si>
  <si>
    <t xml:space="preserve">Sugestação de Investimento </t>
  </si>
  <si>
    <t>Investimento Mensal</t>
  </si>
  <si>
    <t xml:space="preserve">Quanto investir por mês? </t>
  </si>
  <si>
    <t xml:space="preserve">Por quantos anos? </t>
  </si>
  <si>
    <t xml:space="preserve">Taxa de rendimento mensal? </t>
  </si>
  <si>
    <t>Patrimônio acumulado?</t>
  </si>
  <si>
    <t>Dividendos mensais?</t>
  </si>
  <si>
    <t>Cenários</t>
  </si>
  <si>
    <t>Quantos em:</t>
  </si>
  <si>
    <t>Dividendos:</t>
  </si>
  <si>
    <t>2 Anos</t>
  </si>
  <si>
    <t>5 Anos</t>
  </si>
  <si>
    <t>10 Anos</t>
  </si>
  <si>
    <t>20 Anos</t>
  </si>
  <si>
    <t>30 Anos</t>
  </si>
  <si>
    <t>Perfil</t>
  </si>
  <si>
    <t>Moderado</t>
  </si>
  <si>
    <t>Valor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</si>
  <si>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</si>
  <si>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</si>
  <si>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</si>
  <si>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</si>
  <si>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</si>
  <si>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</si>
  <si>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</si>
  <si>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</si>
  <si>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</si>
  <si>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</si>
  <si>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</si>
  <si>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%</t>
  </si>
  <si>
    <t>Agressivo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</si>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</sst>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6" formatCode="&quot;R$&quot;\ #,##0.00"/>
  </numFmts>
  <fonts count="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Calibri Light"/>
      <scheme val="major"/>
    </font>
    <font>
      <b/>
      <sz val="12"/>
      <color theme="1"/>
      <name val="Calibri Light"/>
      <scheme val="major"/>
    </font>
    <font>
      <b/>
      <sz val="11"/>
      <color theme="1"/>
      <name val="Calibri Light"/>
      <scheme val="major"/>
    </font>
    <font>
      <i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93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EA69A"/>
        <bgColor indexed="64"/>
      </patternFill>
    </fill>
    <fill>
      <patternFill patternType="solid">
        <fgColor rgb="FF24D58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2C3E7"/>
        <bgColor indexed="64"/>
      </patternFill>
    </fill>
    <fill>
      <patternFill patternType="solid">
        <fgColor rgb="FFC2EBFC"/>
        <bgColor indexed="64"/>
      </patternFill>
    </fill>
    <fill>
      <patternFill patternType="solid">
        <fgColor theme="4" tint="-0.499984740745262"/>
        <bgColor indexed="64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rgb="FF00000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thin">
        <color theme="0"/>
      </top>
      <bottom style="medium">
        <color rgb="FF00000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rgb="FF000000"/>
      </right>
      <top/>
      <bottom style="thin">
        <color theme="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Border="1"/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0" fillId="0" borderId="29" xfId="0" applyBorder="1"/>
    <xf numFmtId="0" fontId="7" fillId="6" borderId="6" xfId="0" applyFont="1" applyFill="1" applyBorder="1" applyAlignment="1">
      <alignment horizontal="left" vertical="center"/>
    </xf>
    <xf numFmtId="0" fontId="7" fillId="6" borderId="9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2" fillId="6" borderId="25" xfId="0" applyFont="1" applyFill="1" applyBorder="1" applyAlignment="1">
      <alignment horizontal="left" indent="1"/>
    </xf>
    <xf numFmtId="0" fontId="2" fillId="6" borderId="26" xfId="0" applyFont="1" applyFill="1" applyBorder="1" applyAlignment="1">
      <alignment horizontal="left" indent="1"/>
    </xf>
    <xf numFmtId="0" fontId="2" fillId="6" borderId="27" xfId="0" applyFont="1" applyFill="1" applyBorder="1" applyAlignment="1">
      <alignment horizontal="left" indent="1"/>
    </xf>
    <xf numFmtId="0" fontId="2" fillId="6" borderId="28" xfId="0" applyFont="1" applyFill="1" applyBorder="1" applyAlignment="1">
      <alignment horizontal="left" indent="1"/>
    </xf>
    <xf numFmtId="0" fontId="2" fillId="6" borderId="6" xfId="0" applyFont="1" applyFill="1" applyBorder="1" applyAlignment="1">
      <alignment horizontal="left" indent="1"/>
    </xf>
    <xf numFmtId="0" fontId="2" fillId="6" borderId="9" xfId="0" applyFont="1" applyFill="1" applyBorder="1" applyAlignment="1">
      <alignment horizontal="left" indent="1"/>
    </xf>
    <xf numFmtId="0" fontId="5" fillId="3" borderId="6" xfId="0" applyFont="1" applyFill="1" applyBorder="1" applyAlignment="1">
      <alignment horizontal="left" indent="1"/>
    </xf>
    <xf numFmtId="0" fontId="5" fillId="3" borderId="9" xfId="0" applyFont="1" applyFill="1" applyBorder="1" applyAlignment="1">
      <alignment horizontal="left" indent="1"/>
    </xf>
    <xf numFmtId="0" fontId="5" fillId="3" borderId="10" xfId="0" applyFont="1" applyFill="1" applyBorder="1" applyAlignment="1">
      <alignment horizontal="left" indent="1"/>
    </xf>
    <xf numFmtId="0" fontId="5" fillId="3" borderId="11" xfId="0" applyFont="1" applyFill="1" applyBorder="1" applyAlignment="1">
      <alignment horizontal="left" indent="1"/>
    </xf>
    <xf numFmtId="8" fontId="2" fillId="0" borderId="23" xfId="0" applyNumberFormat="1" applyFont="1" applyBorder="1" applyAlignment="1">
      <alignment horizontal="left" indent="1"/>
    </xf>
    <xf numFmtId="10" fontId="2" fillId="0" borderId="23" xfId="0" applyNumberFormat="1" applyFont="1" applyBorder="1" applyAlignment="1">
      <alignment horizontal="left" indent="1"/>
    </xf>
    <xf numFmtId="8" fontId="2" fillId="6" borderId="24" xfId="0" applyNumberFormat="1" applyFont="1" applyFill="1" applyBorder="1" applyAlignment="1">
      <alignment horizontal="left" indent="1"/>
    </xf>
    <xf numFmtId="166" fontId="0" fillId="0" borderId="4" xfId="0" applyNumberFormat="1" applyBorder="1" applyAlignment="1">
      <alignment horizontal="left" indent="1"/>
    </xf>
    <xf numFmtId="0" fontId="0" fillId="0" borderId="4" xfId="0" applyBorder="1" applyAlignment="1">
      <alignment horizontal="left" indent="1"/>
    </xf>
    <xf numFmtId="10" fontId="0" fillId="0" borderId="4" xfId="0" applyNumberFormat="1" applyBorder="1" applyAlignment="1">
      <alignment horizontal="left" vertical="center" indent="1"/>
    </xf>
    <xf numFmtId="8" fontId="6" fillId="3" borderId="4" xfId="0" applyNumberFormat="1" applyFont="1" applyFill="1" applyBorder="1" applyAlignment="1">
      <alignment horizontal="left" indent="1"/>
    </xf>
    <xf numFmtId="8" fontId="6" fillId="3" borderId="5" xfId="0" applyNumberFormat="1" applyFont="1" applyFill="1" applyBorder="1" applyAlignment="1">
      <alignment horizontal="left" indent="1"/>
    </xf>
    <xf numFmtId="0" fontId="2" fillId="3" borderId="31" xfId="0" applyFont="1" applyFill="1" applyBorder="1" applyAlignment="1">
      <alignment horizontal="left" indent="1"/>
    </xf>
    <xf numFmtId="0" fontId="2" fillId="3" borderId="16" xfId="0" applyFont="1" applyFill="1" applyBorder="1" applyAlignment="1">
      <alignment horizontal="left" indent="1"/>
    </xf>
    <xf numFmtId="0" fontId="2" fillId="3" borderId="18" xfId="0" applyFont="1" applyFill="1" applyBorder="1" applyAlignment="1">
      <alignment horizontal="left" indent="1"/>
    </xf>
    <xf numFmtId="166" fontId="2" fillId="3" borderId="32" xfId="0" applyNumberFormat="1" applyFont="1" applyFill="1" applyBorder="1" applyAlignment="1">
      <alignment horizontal="left" indent="1"/>
    </xf>
    <xf numFmtId="166" fontId="2" fillId="3" borderId="15" xfId="0" applyNumberFormat="1" applyFont="1" applyFill="1" applyBorder="1" applyAlignment="1">
      <alignment horizontal="left" indent="1"/>
    </xf>
    <xf numFmtId="166" fontId="2" fillId="3" borderId="30" xfId="0" applyNumberFormat="1" applyFont="1" applyFill="1" applyBorder="1" applyAlignment="1">
      <alignment horizontal="left" indent="1"/>
    </xf>
    <xf numFmtId="8" fontId="2" fillId="3" borderId="33" xfId="0" applyNumberFormat="1" applyFont="1" applyFill="1" applyBorder="1" applyAlignment="1">
      <alignment horizontal="left" indent="1"/>
    </xf>
    <xf numFmtId="8" fontId="2" fillId="3" borderId="17" xfId="0" applyNumberFormat="1" applyFont="1" applyFill="1" applyBorder="1" applyAlignment="1">
      <alignment horizontal="left" indent="1"/>
    </xf>
    <xf numFmtId="8" fontId="2" fillId="3" borderId="19" xfId="0" applyNumberFormat="1" applyFont="1" applyFill="1" applyBorder="1" applyAlignment="1">
      <alignment horizontal="left" indent="1"/>
    </xf>
    <xf numFmtId="0" fontId="0" fillId="7" borderId="34" xfId="0" applyFill="1" applyBorder="1"/>
    <xf numFmtId="0" fontId="0" fillId="7" borderId="35" xfId="0" applyFill="1" applyBorder="1"/>
    <xf numFmtId="0" fontId="3" fillId="6" borderId="38" xfId="0" applyFont="1" applyFill="1" applyBorder="1" applyAlignment="1">
      <alignment horizontal="left"/>
    </xf>
    <xf numFmtId="0" fontId="3" fillId="6" borderId="14" xfId="0" applyFont="1" applyFill="1" applyBorder="1" applyAlignment="1">
      <alignment horizontal="left"/>
    </xf>
    <xf numFmtId="0" fontId="0" fillId="8" borderId="36" xfId="0" applyFill="1" applyBorder="1" applyAlignment="1">
      <alignment horizontal="center"/>
    </xf>
    <xf numFmtId="166" fontId="3" fillId="6" borderId="39" xfId="0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3" fillId="7" borderId="3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0" fillId="7" borderId="37" xfId="0" applyFill="1" applyBorder="1"/>
    <xf numFmtId="0" fontId="0" fillId="7" borderId="8" xfId="0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0" fillId="0" borderId="40" xfId="0" applyBorder="1"/>
    <xf numFmtId="0" fontId="0" fillId="0" borderId="38" xfId="0" applyBorder="1"/>
    <xf numFmtId="166" fontId="0" fillId="0" borderId="41" xfId="0" applyNumberFormat="1" applyBorder="1" applyAlignment="1">
      <alignment horizontal="center"/>
    </xf>
    <xf numFmtId="9" fontId="0" fillId="0" borderId="42" xfId="0" applyNumberFormat="1" applyBorder="1" applyAlignment="1">
      <alignment horizontal="center"/>
    </xf>
    <xf numFmtId="9" fontId="0" fillId="0" borderId="43" xfId="0" applyNumberFormat="1" applyBorder="1" applyAlignment="1">
      <alignment horizontal="center"/>
    </xf>
    <xf numFmtId="9" fontId="0" fillId="0" borderId="0" xfId="0" applyNumberFormat="1"/>
    <xf numFmtId="9" fontId="0" fillId="0" borderId="0" xfId="0" applyNumberFormat="1" applyBorder="1" applyAlignment="1">
      <alignment horizontal="center" indent="1"/>
    </xf>
    <xf numFmtId="166" fontId="3" fillId="7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1EA69A"/>
      <color rgb="FF24D58F"/>
      <color rgb="FF093E44"/>
      <color rgb="FFC2EBFC"/>
      <color rgb="FF72C3E7"/>
      <color rgb="FFC2F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Simulador!$B$31:$B$36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Simulador!$C$31:$C$36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8-46A2-8D60-14F6953623D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Simulador!$B$31:$B$36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Simulador!$D$31:$D$36</c:f>
              <c:numCache>
                <c:formatCode>"R$"\ #,##0.00</c:formatCode>
                <c:ptCount val="6"/>
                <c:pt idx="0">
                  <c:v>32</c:v>
                </c:pt>
                <c:pt idx="1">
                  <c:v>35</c:v>
                </c:pt>
                <c:pt idx="2">
                  <c:v>8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68-46A2-8D60-14F695362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43232976411241"/>
          <c:y val="0.19234833450696712"/>
          <c:w val="0.17537867273122065"/>
          <c:h val="0.54878432878816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11</xdr:row>
      <xdr:rowOff>19050</xdr:rowOff>
    </xdr:from>
    <xdr:to>
      <xdr:col>1</xdr:col>
      <xdr:colOff>295275</xdr:colOff>
      <xdr:row>11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6F17FA9-34DA-8633-141A-F85C5BBCE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" y="26193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95250</xdr:rowOff>
    </xdr:from>
    <xdr:to>
      <xdr:col>3</xdr:col>
      <xdr:colOff>1352550</xdr:colOff>
      <xdr:row>5</xdr:row>
      <xdr:rowOff>295275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97C9B2E-D132-4FCD-AE22-9E230BDDF4E7}"/>
            </a:ext>
            <a:ext uri="{147F2762-F138-4A5C-976F-8EAC2B608ADB}">
              <a16:predDERef xmlns:a16="http://schemas.microsoft.com/office/drawing/2014/main" pred="{76F17FA9-34DA-8633-141A-F85C5BBCE6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609600" y="95250"/>
          <a:ext cx="4619625" cy="1152525"/>
        </a:xfrm>
        <a:prstGeom prst="rect">
          <a:avLst/>
        </a:prstGeom>
      </xdr:spPr>
    </xdr:pic>
    <xdr:clientData/>
  </xdr:twoCellAnchor>
  <xdr:twoCellAnchor>
    <xdr:from>
      <xdr:col>0</xdr:col>
      <xdr:colOff>438150</xdr:colOff>
      <xdr:row>37</xdr:row>
      <xdr:rowOff>9525</xdr:rowOff>
    </xdr:from>
    <xdr:to>
      <xdr:col>4</xdr:col>
      <xdr:colOff>266700</xdr:colOff>
      <xdr:row>49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D6DB4CD-5683-4E5A-9FB4-0FF7C3214F89}"/>
            </a:ext>
            <a:ext uri="{147F2762-F138-4A5C-976F-8EAC2B608ADB}">
              <a16:predDERef xmlns:a16="http://schemas.microsoft.com/office/drawing/2014/main" pred="{F97C9B2E-D132-4FCD-AE22-9E230BDDF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6B3E-5B68-4A74-AC09-E2AE1DDC708A}">
  <dimension ref="A6:H37"/>
  <sheetViews>
    <sheetView showGridLines="0" tabSelected="1" topLeftCell="A23" workbookViewId="0">
      <selection activeCell="D27" sqref="D27"/>
    </sheetView>
  </sheetViews>
  <sheetFormatPr defaultColWidth="0" defaultRowHeight="15"/>
  <cols>
    <col min="1" max="1" width="9.140625" customWidth="1"/>
    <col min="2" max="2" width="19.140625" customWidth="1"/>
    <col min="3" max="3" width="29.85546875" customWidth="1"/>
    <col min="4" max="4" width="20.42578125" customWidth="1"/>
    <col min="5" max="7" width="9.140625" customWidth="1"/>
    <col min="8" max="8" width="9.140625" hidden="1" customWidth="1"/>
  </cols>
  <sheetData>
    <row r="6" spans="2:4" ht="29.25" customHeight="1"/>
    <row r="7" spans="2:4" ht="31.5">
      <c r="B7" s="6" t="s">
        <v>0</v>
      </c>
      <c r="C7" s="7"/>
      <c r="D7" s="8"/>
    </row>
    <row r="8" spans="2:4" ht="15.75">
      <c r="B8" s="13" t="s">
        <v>1</v>
      </c>
      <c r="C8" s="14"/>
      <c r="D8" s="23">
        <v>3000</v>
      </c>
    </row>
    <row r="9" spans="2:4" ht="15.75">
      <c r="B9" s="13" t="s">
        <v>2</v>
      </c>
      <c r="C9" s="14"/>
      <c r="D9" s="24">
        <v>0.01</v>
      </c>
    </row>
    <row r="10" spans="2:4" ht="15.75">
      <c r="B10" s="15" t="s">
        <v>3</v>
      </c>
      <c r="C10" s="16"/>
      <c r="D10" s="25" cm="1">
        <f t="array" ref="D10">Salario*30%</f>
        <v>900</v>
      </c>
    </row>
    <row r="12" spans="2:4" ht="37.5" customHeight="1">
      <c r="B12" s="55" t="s">
        <v>4</v>
      </c>
      <c r="C12" s="3"/>
      <c r="D12" s="56"/>
    </row>
    <row r="13" spans="2:4" ht="15.75">
      <c r="B13" s="17" t="s">
        <v>5</v>
      </c>
      <c r="C13" s="18"/>
      <c r="D13" s="26">
        <v>100</v>
      </c>
    </row>
    <row r="14" spans="2:4" ht="15.75">
      <c r="B14" s="17" t="s">
        <v>6</v>
      </c>
      <c r="C14" s="18"/>
      <c r="D14" s="27">
        <v>10</v>
      </c>
    </row>
    <row r="15" spans="2:4" ht="15.75">
      <c r="B15" s="17" t="s">
        <v>7</v>
      </c>
      <c r="C15" s="18"/>
      <c r="D15" s="28">
        <v>1.0789999999999999E-2</v>
      </c>
    </row>
    <row r="16" spans="2:4" ht="15.75">
      <c r="B16" s="19" t="s">
        <v>8</v>
      </c>
      <c r="C16" s="20"/>
      <c r="D16" s="29" cm="1">
        <f t="array" ref="D16">FV(Taxa_Mensal,Qtd_Anos*12,Aporte*-1)</f>
        <v>24328.421253017219</v>
      </c>
    </row>
    <row r="17" spans="1:5" ht="15.75">
      <c r="B17" s="21" t="s">
        <v>9</v>
      </c>
      <c r="C17" s="22"/>
      <c r="D17" s="30" cm="1">
        <f t="array" ref="D17">Patrimonio*Redimento_Carteira</f>
        <v>243.2842125301722</v>
      </c>
    </row>
    <row r="19" spans="1:5" ht="31.5">
      <c r="B19" s="53" t="s">
        <v>10</v>
      </c>
      <c r="C19" s="2"/>
      <c r="D19" s="54"/>
    </row>
    <row r="20" spans="1:5" ht="15.75">
      <c r="B20" s="10" t="s">
        <v>11</v>
      </c>
      <c r="C20" s="11"/>
      <c r="D20" s="12" t="s">
        <v>12</v>
      </c>
    </row>
    <row r="21" spans="1:5" ht="15.75">
      <c r="A21" s="4">
        <v>2</v>
      </c>
      <c r="B21" s="31" t="s">
        <v>13</v>
      </c>
      <c r="C21" s="34" cm="1">
        <f t="array" ref="C21">FV(Taxa_Mensal,$A21*12,Aporte*-1)</f>
        <v>2722.7627297645217</v>
      </c>
      <c r="D21" s="37" cm="1">
        <f t="array" ref="D21">C21*Redimento_Carteira</f>
        <v>27.227627297645217</v>
      </c>
    </row>
    <row r="22" spans="1:5" ht="15.75">
      <c r="A22" s="4">
        <v>5</v>
      </c>
      <c r="B22" s="32" t="s">
        <v>14</v>
      </c>
      <c r="C22" s="35" cm="1">
        <f t="array" ref="C22">FV(Taxa_Mensal,$A22*12,Aporte*-1)</f>
        <v>8377.6913998487635</v>
      </c>
      <c r="D22" s="38" cm="1">
        <f t="array" ref="D22">C22*Redimento_Carteira</f>
        <v>83.776913998487643</v>
      </c>
    </row>
    <row r="23" spans="1:5" ht="15.75">
      <c r="A23" s="4">
        <v>10</v>
      </c>
      <c r="B23" s="32" t="s">
        <v>15</v>
      </c>
      <c r="C23" s="35" cm="1">
        <f t="array" ref="C23">FV(Taxa_Mensal,$A23*12,Aporte*-1)</f>
        <v>24328.421253017219</v>
      </c>
      <c r="D23" s="38" cm="1">
        <f t="array" ref="D23">C23*Redimento_Carteira</f>
        <v>243.2842125301722</v>
      </c>
      <c r="E23" s="9"/>
    </row>
    <row r="24" spans="1:5" ht="15.75">
      <c r="A24" s="4">
        <v>20</v>
      </c>
      <c r="B24" s="32" t="s">
        <v>16</v>
      </c>
      <c r="C24" s="35" cm="1">
        <f t="array" ref="C24">FV(Taxa_Mensal,$A24*12,Aporte*-1)</f>
        <v>112519.84000970806</v>
      </c>
      <c r="D24" s="38" cm="1">
        <f t="array" ref="D24">C24*Redimento_Carteira</f>
        <v>1125.1984000970806</v>
      </c>
    </row>
    <row r="25" spans="1:5" ht="15.75">
      <c r="A25" s="4">
        <v>30</v>
      </c>
      <c r="B25" s="33" t="s">
        <v>17</v>
      </c>
      <c r="C25" s="36" cm="1">
        <f t="array" ref="C25">FV(Taxa_Mensal,$A25*12,Aporte*-1)</f>
        <v>432216.96550047147</v>
      </c>
      <c r="D25" s="39" cm="1">
        <f t="array" ref="D25">C25*Redimento_Carteira</f>
        <v>4322.1696550047145</v>
      </c>
    </row>
    <row r="27" spans="1:5">
      <c r="B27" s="40" t="s">
        <v>18</v>
      </c>
      <c r="C27" s="41"/>
      <c r="D27" s="44" t="s">
        <v>19</v>
      </c>
    </row>
    <row r="28" spans="1:5">
      <c r="B28" s="42" t="s">
        <v>20</v>
      </c>
      <c r="C28" s="43"/>
      <c r="D28" s="45" cm="1">
        <f t="array" ref="D28">Aporte</f>
        <v>100</v>
      </c>
    </row>
    <row r="30" spans="1:5">
      <c r="B30" s="48" t="s">
        <v>21</v>
      </c>
      <c r="C30" s="49" t="s">
        <v>22</v>
      </c>
      <c r="D30" s="50" t="s">
        <v>23</v>
      </c>
    </row>
    <row r="31" spans="1:5">
      <c r="B31" s="46" t="s">
        <v>24</v>
      </c>
      <c r="C31" s="65">
        <f>VLOOKUP($D$27&amp;"-"&amp;B31,'Lista de Apoio'!$B$3:$E$20,4,FALSE)</f>
        <v>0.32</v>
      </c>
      <c r="D31" s="61">
        <f>C31*$D$28</f>
        <v>32</v>
      </c>
    </row>
    <row r="32" spans="1:5">
      <c r="B32" s="46" t="s">
        <v>25</v>
      </c>
      <c r="C32" s="65">
        <f>VLOOKUP($D$27&amp;"-"&amp;B32,'Lista de Apoio'!$B$3:$E$20,4,FALSE)</f>
        <v>0.35</v>
      </c>
      <c r="D32" s="61">
        <f t="shared" ref="D32:D36" si="0">C32*$D$28</f>
        <v>35</v>
      </c>
    </row>
    <row r="33" spans="2:4">
      <c r="B33" s="46" t="s">
        <v>26</v>
      </c>
      <c r="C33" s="65">
        <f>VLOOKUP($D$27&amp;"-"&amp;B33,'Lista de Apoio'!$B$3:$E$20,4,FALSE)</f>
        <v>0.08</v>
      </c>
      <c r="D33" s="61">
        <f t="shared" si="0"/>
        <v>8</v>
      </c>
    </row>
    <row r="34" spans="2:4">
      <c r="B34" s="46" t="s">
        <v>27</v>
      </c>
      <c r="C34" s="65">
        <f>VLOOKUP($D$27&amp;"-"&amp;B34,'Lista de Apoio'!$B$3:$E$20,4,FALSE)</f>
        <v>0.05</v>
      </c>
      <c r="D34" s="61">
        <f t="shared" si="0"/>
        <v>5</v>
      </c>
    </row>
    <row r="35" spans="2:4">
      <c r="B35" s="46" t="s">
        <v>28</v>
      </c>
      <c r="C35" s="65">
        <f>VLOOKUP($D$27&amp;"-"&amp;B35,'Lista de Apoio'!$B$3:$E$20,4,FALSE)</f>
        <v>0.1</v>
      </c>
      <c r="D35" s="61">
        <f t="shared" si="0"/>
        <v>10</v>
      </c>
    </row>
    <row r="36" spans="2:4">
      <c r="B36" s="46" t="s">
        <v>29</v>
      </c>
      <c r="C36" s="65">
        <f>VLOOKUP($D$27&amp;"-"&amp;B36,'Lista de Apoio'!$B$3:$E$20,4,FALSE)</f>
        <v>0.1</v>
      </c>
      <c r="D36" s="61">
        <f t="shared" si="0"/>
        <v>10</v>
      </c>
    </row>
    <row r="37" spans="2:4">
      <c r="B37" s="51"/>
      <c r="C37" s="52"/>
      <c r="D37" s="66">
        <f>SUM(D31:D36)</f>
        <v>100</v>
      </c>
    </row>
  </sheetData>
  <mergeCells count="13">
    <mergeCell ref="B7:D7"/>
    <mergeCell ref="B8:C8"/>
    <mergeCell ref="B9:C9"/>
    <mergeCell ref="B10:C10"/>
    <mergeCell ref="B28:C28"/>
    <mergeCell ref="B12:D12"/>
    <mergeCell ref="B19:D19"/>
    <mergeCell ref="B13:C13"/>
    <mergeCell ref="B14:C14"/>
    <mergeCell ref="B15:C15"/>
    <mergeCell ref="B16:C16"/>
    <mergeCell ref="B17:C17"/>
    <mergeCell ref="B20:C20"/>
  </mergeCells>
  <dataValidations count="1">
    <dataValidation type="list" allowBlank="1" showInputMessage="1" showErrorMessage="1" sqref="D27" xr:uid="{B92916A6-1209-45A9-B736-C4F45825FE06}">
      <formula1>"Agressivo,Conservador,Moderado"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showGridLines="0" workbookViewId="0">
      <selection activeCell="G7" sqref="G7"/>
    </sheetView>
  </sheetViews>
  <sheetFormatPr defaultRowHeight="15"/>
  <cols>
    <col min="1" max="1" width="4.140625" customWidth="1"/>
    <col min="2" max="2" width="31.28515625" bestFit="1" customWidth="1"/>
    <col min="3" max="3" width="12.140625" bestFit="1" customWidth="1"/>
    <col min="4" max="4" width="19.28515625" bestFit="1" customWidth="1"/>
    <col min="5" max="5" width="9.42578125" style="1" bestFit="1" customWidth="1"/>
    <col min="7" max="7" width="18" customWidth="1"/>
  </cols>
  <sheetData>
    <row r="2" spans="2:8">
      <c r="B2" s="57" t="s">
        <v>30</v>
      </c>
      <c r="C2" s="57" t="s">
        <v>31</v>
      </c>
      <c r="D2" s="57" t="s">
        <v>21</v>
      </c>
      <c r="E2" s="58" t="s">
        <v>32</v>
      </c>
      <c r="G2" s="5"/>
      <c r="H2" s="64"/>
    </row>
    <row r="3" spans="2:8">
      <c r="B3" s="59" t="str">
        <f>C3&amp;"-"&amp;D3</f>
        <v>Agressivo-PAPEL</v>
      </c>
      <c r="C3" s="46" t="s">
        <v>33</v>
      </c>
      <c r="D3" s="46" t="s">
        <v>24</v>
      </c>
      <c r="E3" s="62">
        <v>0.5</v>
      </c>
    </row>
    <row r="4" spans="2:8">
      <c r="B4" s="59" t="str">
        <f t="shared" ref="B4:B8" si="0">C4&amp;"-"&amp;D4</f>
        <v>Agressivo-TIJOLO</v>
      </c>
      <c r="C4" s="46" t="s">
        <v>33</v>
      </c>
      <c r="D4" s="46" t="s">
        <v>25</v>
      </c>
      <c r="E4" s="62">
        <v>0.1</v>
      </c>
    </row>
    <row r="5" spans="2:8">
      <c r="B5" s="59" t="str">
        <f t="shared" si="0"/>
        <v>Agressivo-HÍBRIDOS</v>
      </c>
      <c r="C5" s="46" t="s">
        <v>33</v>
      </c>
      <c r="D5" s="46" t="s">
        <v>26</v>
      </c>
      <c r="E5" s="62">
        <v>0.05</v>
      </c>
    </row>
    <row r="6" spans="2:8">
      <c r="B6" s="59" t="str">
        <f t="shared" si="0"/>
        <v>Agressivo-FOFs</v>
      </c>
      <c r="C6" s="46" t="s">
        <v>33</v>
      </c>
      <c r="D6" s="46" t="s">
        <v>27</v>
      </c>
      <c r="E6" s="62">
        <v>0.05</v>
      </c>
    </row>
    <row r="7" spans="2:8">
      <c r="B7" s="59" t="str">
        <f t="shared" si="0"/>
        <v>Agressivo-DESENVOLVIMENTO</v>
      </c>
      <c r="C7" s="46" t="s">
        <v>33</v>
      </c>
      <c r="D7" s="46" t="s">
        <v>28</v>
      </c>
      <c r="E7" s="62">
        <v>0.2</v>
      </c>
    </row>
    <row r="8" spans="2:8">
      <c r="B8" s="60" t="str">
        <f t="shared" si="0"/>
        <v>Agressivo-HOTELARIAS</v>
      </c>
      <c r="C8" s="47" t="s">
        <v>33</v>
      </c>
      <c r="D8" s="47" t="s">
        <v>29</v>
      </c>
      <c r="E8" s="63">
        <v>0.1</v>
      </c>
    </row>
    <row r="9" spans="2:8">
      <c r="B9" s="59" t="str">
        <f>C9&amp;"-"&amp;D9</f>
        <v>Conservador-PAPEL</v>
      </c>
      <c r="C9" s="46" t="s">
        <v>34</v>
      </c>
      <c r="D9" s="46" t="s">
        <v>24</v>
      </c>
      <c r="E9" s="62">
        <v>0.3</v>
      </c>
    </row>
    <row r="10" spans="2:8">
      <c r="B10" s="59" t="str">
        <f t="shared" ref="B10:B14" si="1">C10&amp;"-"&amp;D10</f>
        <v>Conservador-TIJOLO</v>
      </c>
      <c r="C10" s="46" t="s">
        <v>34</v>
      </c>
      <c r="D10" s="46" t="s">
        <v>25</v>
      </c>
      <c r="E10" s="62">
        <v>0.5</v>
      </c>
    </row>
    <row r="11" spans="2:8">
      <c r="B11" s="59" t="str">
        <f t="shared" si="1"/>
        <v>Conservador-HÍBRIDOS</v>
      </c>
      <c r="C11" s="46" t="s">
        <v>34</v>
      </c>
      <c r="D11" s="46" t="s">
        <v>26</v>
      </c>
      <c r="E11" s="62">
        <v>0.1</v>
      </c>
    </row>
    <row r="12" spans="2:8">
      <c r="B12" s="59" t="str">
        <f t="shared" si="1"/>
        <v>Conservador-FOFs</v>
      </c>
      <c r="C12" s="46" t="s">
        <v>34</v>
      </c>
      <c r="D12" s="46" t="s">
        <v>27</v>
      </c>
      <c r="E12" s="62">
        <v>0.1</v>
      </c>
    </row>
    <row r="13" spans="2:8">
      <c r="B13" s="59" t="str">
        <f t="shared" si="1"/>
        <v>Conservador-DESENVOLVIMENTO</v>
      </c>
      <c r="C13" s="46" t="s">
        <v>34</v>
      </c>
      <c r="D13" s="46" t="s">
        <v>28</v>
      </c>
      <c r="E13" s="62">
        <v>0</v>
      </c>
    </row>
    <row r="14" spans="2:8">
      <c r="B14" s="60" t="str">
        <f t="shared" si="1"/>
        <v>Conservador-HOTELARIAS</v>
      </c>
      <c r="C14" s="47" t="s">
        <v>34</v>
      </c>
      <c r="D14" s="47" t="s">
        <v>29</v>
      </c>
      <c r="E14" s="63">
        <v>0</v>
      </c>
    </row>
    <row r="15" spans="2:8">
      <c r="B15" s="59" t="str">
        <f>C15&amp;"-"&amp;D15</f>
        <v>Moderado-PAPEL</v>
      </c>
      <c r="C15" s="46" t="s">
        <v>19</v>
      </c>
      <c r="D15" s="46" t="s">
        <v>24</v>
      </c>
      <c r="E15" s="62">
        <v>0.32</v>
      </c>
    </row>
    <row r="16" spans="2:8">
      <c r="B16" s="59" t="str">
        <f t="shared" ref="B16:B20" si="2">C16&amp;"-"&amp;D16</f>
        <v>Moderado-TIJOLO</v>
      </c>
      <c r="C16" s="46" t="s">
        <v>19</v>
      </c>
      <c r="D16" s="46" t="s">
        <v>25</v>
      </c>
      <c r="E16" s="62">
        <v>0.35</v>
      </c>
    </row>
    <row r="17" spans="2:5">
      <c r="B17" s="59" t="str">
        <f t="shared" si="2"/>
        <v>Moderado-HÍBRIDOS</v>
      </c>
      <c r="C17" s="46" t="s">
        <v>19</v>
      </c>
      <c r="D17" s="46" t="s">
        <v>26</v>
      </c>
      <c r="E17" s="62">
        <v>0.08</v>
      </c>
    </row>
    <row r="18" spans="2:5">
      <c r="B18" s="59" t="str">
        <f t="shared" si="2"/>
        <v>Moderado-FOFs</v>
      </c>
      <c r="C18" s="46" t="s">
        <v>19</v>
      </c>
      <c r="D18" s="46" t="s">
        <v>27</v>
      </c>
      <c r="E18" s="62">
        <v>0.05</v>
      </c>
    </row>
    <row r="19" spans="2:5">
      <c r="B19" s="59" t="str">
        <f t="shared" si="2"/>
        <v>Moderado-DESENVOLVIMENTO</v>
      </c>
      <c r="C19" s="46" t="s">
        <v>19</v>
      </c>
      <c r="D19" s="46" t="s">
        <v>28</v>
      </c>
      <c r="E19" s="62">
        <v>0.1</v>
      </c>
    </row>
    <row r="20" spans="2:5">
      <c r="B20" s="60" t="str">
        <f t="shared" si="2"/>
        <v>Moderado-HOTELARIAS</v>
      </c>
      <c r="C20" s="47" t="s">
        <v>19</v>
      </c>
      <c r="D20" s="47" t="s">
        <v>29</v>
      </c>
      <c r="E20" s="6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2026-08-27T01:01:03Z</dcterms:created>
  <dcterms:modified xsi:type="dcterms:W3CDTF">2026-08-27T20:30:09Z</dcterms:modified>
  <cp:category/>
  <cp:contentStatus/>
</cp:coreProperties>
</file>